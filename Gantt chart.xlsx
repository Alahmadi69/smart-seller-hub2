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fhdmh\OneDrive\سطح المكتب\"/>
    </mc:Choice>
  </mc:AlternateContent>
  <xr:revisionPtr revIDLastSave="0" documentId="13_ncr:1_{C9638B95-BC8A-4F97-8A91-55423F23CA44}"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schedule'!$R$4</definedName>
    <definedName name="_xlnm.Print_Titles" localSheetId="0">'Project schedule'!$4:$6</definedName>
    <definedName name="Project_Start">'Project schedule'!$R$3</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1" l="1"/>
  <c r="H7" i="11"/>
  <c r="I7" i="11" s="1"/>
  <c r="F9" i="11"/>
  <c r="E10" i="11" s="1"/>
  <c r="H14" i="11"/>
  <c r="F15" i="11"/>
  <c r="H15" i="11" s="1"/>
  <c r="H16" i="11"/>
  <c r="H17" i="11"/>
  <c r="H18" i="11"/>
  <c r="H19" i="11"/>
  <c r="H20" i="11"/>
  <c r="H21" i="11"/>
  <c r="H6" i="11" l="1"/>
  <c r="H9" i="11"/>
  <c r="F10" i="11"/>
  <c r="E11" i="11" s="1"/>
  <c r="J7" i="11"/>
  <c r="I8" i="11"/>
  <c r="H8" i="11"/>
  <c r="H10" i="11" l="1"/>
  <c r="K7" i="11"/>
  <c r="J8" i="11"/>
  <c r="F11" i="11"/>
  <c r="E12" i="11" s="1"/>
  <c r="H11" i="11" l="1"/>
  <c r="F12" i="11"/>
  <c r="H12" i="11"/>
  <c r="E13" i="11"/>
  <c r="L7" i="11"/>
  <c r="K8" i="11"/>
  <c r="F13" i="11" l="1"/>
  <c r="H13" i="11"/>
  <c r="M7" i="11"/>
  <c r="L8" i="11"/>
  <c r="N7" i="11" l="1"/>
  <c r="M8" i="11"/>
  <c r="O7" i="11" l="1"/>
  <c r="N8" i="11"/>
  <c r="P7" i="11" l="1"/>
  <c r="O8" i="11"/>
  <c r="O6" i="11"/>
  <c r="Q7" i="11" l="1"/>
  <c r="P8" i="11"/>
  <c r="R7" i="11" l="1"/>
  <c r="Q8" i="11"/>
  <c r="R8" i="11" l="1"/>
  <c r="S7" i="11"/>
  <c r="T7" i="11" l="1"/>
  <c r="S8" i="11"/>
  <c r="U7" i="11" l="1"/>
  <c r="T8" i="11"/>
  <c r="V7" i="11" l="1"/>
  <c r="U8" i="11"/>
  <c r="W7" i="11" l="1"/>
  <c r="V8" i="11"/>
  <c r="V6" i="11"/>
  <c r="X7" i="11" l="1"/>
  <c r="W8" i="11"/>
  <c r="Y7" i="11" l="1"/>
  <c r="X8" i="11"/>
  <c r="Z7" i="11" l="1"/>
  <c r="Y8" i="11"/>
  <c r="AA7" i="11" l="1"/>
  <c r="Z8" i="11"/>
  <c r="AB7" i="11" l="1"/>
  <c r="AA8" i="11"/>
  <c r="AC7" i="11" l="1"/>
  <c r="AB8" i="11"/>
  <c r="AD7" i="11" l="1"/>
  <c r="AC8" i="11"/>
  <c r="AC6" i="11"/>
  <c r="AD8" i="11" l="1"/>
  <c r="AE7" i="11"/>
  <c r="AF7" i="11" l="1"/>
  <c r="AE8" i="11"/>
  <c r="AG7" i="11" l="1"/>
  <c r="AF8" i="11"/>
  <c r="AH7" i="11" l="1"/>
  <c r="AG8" i="11"/>
  <c r="AI7" i="11" l="1"/>
  <c r="AH8" i="11"/>
  <c r="AJ7" i="11" l="1"/>
  <c r="AI8" i="11"/>
  <c r="AK7" i="11" l="1"/>
  <c r="AJ8" i="11"/>
  <c r="AJ6" i="11"/>
  <c r="AL7" i="11" l="1"/>
  <c r="AK8" i="11"/>
  <c r="AM7" i="11" l="1"/>
  <c r="AL8" i="11"/>
  <c r="AN7" i="11" l="1"/>
  <c r="AM8" i="11"/>
  <c r="AO7" i="11" l="1"/>
  <c r="AN8" i="11"/>
  <c r="AP7" i="11" l="1"/>
  <c r="AO8" i="11"/>
  <c r="AQ7" i="11" l="1"/>
  <c r="AP8" i="11"/>
  <c r="AR7" i="11" l="1"/>
  <c r="AQ8" i="11"/>
  <c r="AQ6" i="11"/>
  <c r="AS7" i="11" l="1"/>
  <c r="AR8" i="11"/>
  <c r="AT7" i="11" l="1"/>
  <c r="AS8" i="11"/>
  <c r="AU7" i="11" l="1"/>
  <c r="AT8" i="11"/>
  <c r="AV7" i="11" l="1"/>
  <c r="AU8" i="11"/>
  <c r="AW7" i="11" l="1"/>
  <c r="AV8" i="11"/>
  <c r="AW8" i="11" l="1"/>
</calcChain>
</file>

<file path=xl/sharedStrings.xml><?xml version="1.0" encoding="utf-8"?>
<sst xmlns="http://schemas.openxmlformats.org/spreadsheetml/2006/main" count="51" uniqueCount="39">
  <si>
    <t>Project start:</t>
  </si>
  <si>
    <t>Display week:</t>
  </si>
  <si>
    <t>SIMPLE GANTT CHART by Vertex42.com</t>
  </si>
  <si>
    <t>TASK</t>
  </si>
  <si>
    <t>ASSIGNED TO</t>
  </si>
  <si>
    <t>PROGRESS</t>
  </si>
  <si>
    <t>START</t>
  </si>
  <si>
    <t>END</t>
  </si>
  <si>
    <t xml:space="preserve">Do not delete this row. This row is hidden to preserve a formula that is used to highlight the current day within the project schedule. </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</si>
  <si>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</si>
  <si>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</si>
  <si>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</si>
  <si>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</si>
  <si>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</si>
  <si>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</si>
  <si>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</si>
  <si>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</si>
  <si>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</si>
  <si>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</si>
  <si>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</si>
  <si>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</si>
  <si>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</si>
  <si>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All members</t>
  </si>
  <si>
    <t xml:space="preserve">UI/UX </t>
  </si>
  <si>
    <t>Web Prototype</t>
  </si>
  <si>
    <t>About Us &amp; Contact Pages</t>
  </si>
  <si>
    <t>GitHubRepo &amp; README</t>
  </si>
  <si>
    <t>Milestone 1</t>
  </si>
  <si>
    <t>Milestone 2</t>
  </si>
  <si>
    <t>Business Problem &amp; Soultion</t>
  </si>
  <si>
    <t>Index.html</t>
  </si>
  <si>
    <t>GROUP 2</t>
  </si>
  <si>
    <t>login.html</t>
  </si>
  <si>
    <t>contact.html</t>
  </si>
  <si>
    <t>dashboard.html</t>
  </si>
  <si>
    <t>pricing.html</t>
  </si>
  <si>
    <t>script.js</t>
  </si>
  <si>
    <t>auth.js &amp; stlye.css</t>
  </si>
  <si>
    <t>Report&amp;PPTX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</si>
</sst>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20"/>
      <name val="Arial"/>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1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0">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18" fillId="8" borderId="14" xfId="0" applyNumberFormat="1" applyFont="1" applyFill="1" applyBorder="1" applyAlignment="1">
      <alignment horizontal="center" vertical="center"/>
    </xf>
    <xf numFmtId="167" fontId="18" fillId="8" borderId="12" xfId="0" applyNumberFormat="1" applyFont="1" applyFill="1" applyBorder="1" applyAlignment="1">
      <alignment horizontal="center" vertical="center"/>
    </xf>
    <xf numFmtId="167" fontId="18" fillId="8" borderId="13" xfId="0" applyNumberFormat="1" applyFont="1" applyFill="1" applyBorder="1" applyAlignment="1">
      <alignment horizontal="center" vertical="center"/>
    </xf>
    <xf numFmtId="0" fontId="19" fillId="2" borderId="11" xfId="0" applyFont="1" applyFill="1" applyBorder="1" applyAlignment="1">
      <alignment horizontal="center" vertical="center" shrinkToFit="1"/>
    </xf>
    <xf numFmtId="0" fontId="19" fillId="2" borderId="9" xfId="0" applyFont="1" applyFill="1" applyBorder="1" applyAlignment="1">
      <alignment horizontal="center" vertical="center" shrinkToFit="1"/>
    </xf>
    <xf numFmtId="0" fontId="16" fillId="0" borderId="0" xfId="0" applyFont="1"/>
    <xf numFmtId="0" fontId="16" fillId="0" borderId="0" xfId="0" applyFont="1" applyAlignment="1">
      <alignment wrapText="1"/>
    </xf>
    <xf numFmtId="0" fontId="4" fillId="0" borderId="3" xfId="0" applyFont="1" applyBorder="1" applyAlignment="1">
      <alignment vertical="center"/>
    </xf>
    <xf numFmtId="0" fontId="20" fillId="5" borderId="0" xfId="0" applyFont="1" applyFill="1" applyAlignment="1">
      <alignment horizontal="left" vertical="center" indent="1"/>
    </xf>
    <xf numFmtId="0" fontId="16" fillId="5" borderId="0" xfId="11" applyFont="1" applyFill="1" applyBorder="1" applyAlignment="1">
      <alignment vertical="center"/>
    </xf>
    <xf numFmtId="9" fontId="1" fillId="5" borderId="0" xfId="2" applyFont="1" applyFill="1" applyBorder="1" applyAlignment="1">
      <alignment horizontal="center" vertical="center"/>
    </xf>
    <xf numFmtId="164" fontId="16"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0" xfId="0" applyFont="1" applyAlignment="1">
      <alignment vertical="center"/>
    </xf>
    <xf numFmtId="0" fontId="16" fillId="3" borderId="6" xfId="12" applyFont="1" applyFill="1" applyBorder="1">
      <alignment horizontal="left" vertical="center" indent="2"/>
    </xf>
    <xf numFmtId="0" fontId="16" fillId="3" borderId="6" xfId="11" applyFont="1" applyFill="1" applyBorder="1" applyAlignment="1">
      <alignment vertical="center"/>
    </xf>
    <xf numFmtId="9" fontId="1" fillId="3" borderId="6" xfId="2" applyFont="1" applyFill="1" applyBorder="1" applyAlignment="1">
      <alignment horizontal="center" vertical="center"/>
    </xf>
    <xf numFmtId="164" fontId="16" fillId="3" borderId="6" xfId="10" applyFont="1" applyFill="1" applyBorder="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164" fontId="16" fillId="3" borderId="7" xfId="10" applyFont="1" applyFill="1" applyBorder="1">
      <alignment horizontal="center" vertical="center"/>
    </xf>
    <xf numFmtId="0" fontId="4" fillId="0" borderId="4" xfId="0" applyFont="1" applyBorder="1" applyAlignment="1">
      <alignment horizontal="right" vertical="center"/>
    </xf>
    <xf numFmtId="0" fontId="20" fillId="6" borderId="0" xfId="0" applyFont="1" applyFill="1" applyAlignment="1">
      <alignment horizontal="left" vertical="center" indent="1"/>
    </xf>
    <xf numFmtId="0" fontId="16" fillId="6" borderId="0" xfId="11" applyFont="1" applyFill="1" applyBorder="1" applyAlignment="1">
      <alignment vertical="center"/>
    </xf>
    <xf numFmtId="9" fontId="1" fillId="6" borderId="0" xfId="2" applyFont="1" applyFill="1" applyBorder="1" applyAlignment="1">
      <alignment horizontal="center" vertical="center"/>
    </xf>
    <xf numFmtId="164" fontId="16"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6" fillId="4" borderId="5" xfId="12" applyFont="1" applyFill="1" applyBorder="1">
      <alignment horizontal="left" vertical="center" indent="2"/>
    </xf>
    <xf numFmtId="0" fontId="16" fillId="4" borderId="5" xfId="11" applyFont="1" applyFill="1" applyBorder="1" applyAlignment="1">
      <alignment vertical="center"/>
    </xf>
    <xf numFmtId="9" fontId="1" fillId="4" borderId="5" xfId="2" applyFont="1" applyFill="1" applyBorder="1" applyAlignment="1">
      <alignment horizontal="center" vertical="center"/>
    </xf>
    <xf numFmtId="164" fontId="16" fillId="4" borderId="5" xfId="10" applyFont="1" applyFill="1" applyBorder="1">
      <alignment horizontal="center" vertical="center"/>
    </xf>
    <xf numFmtId="0" fontId="21" fillId="0" borderId="0" xfId="6" applyFont="1" applyAlignment="1">
      <alignment horizontal="left" vertical="center" indent="1"/>
    </xf>
    <xf numFmtId="0" fontId="21" fillId="0" borderId="0" xfId="7" applyFont="1" applyAlignment="1">
      <alignment horizontal="left" vertical="center" indent="1"/>
    </xf>
    <xf numFmtId="0" fontId="24"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27" fillId="0" borderId="0" xfId="0" applyFont="1" applyAlignment="1">
      <alignment horizontal="left" indent="1"/>
    </xf>
    <xf numFmtId="166" fontId="16" fillId="2" borderId="8" xfId="0" applyNumberFormat="1" applyFont="1" applyFill="1" applyBorder="1" applyAlignment="1">
      <alignment horizontal="center" vertical="center" wrapText="1"/>
    </xf>
    <xf numFmtId="0" fontId="17" fillId="7" borderId="10" xfId="0" applyFont="1" applyFill="1" applyBorder="1" applyAlignment="1">
      <alignment horizontal="center" vertical="center"/>
    </xf>
    <xf numFmtId="0" fontId="17" fillId="7" borderId="15" xfId="0" applyFont="1" applyFill="1" applyBorder="1" applyAlignment="1">
      <alignment horizontal="center" vertical="center"/>
    </xf>
    <xf numFmtId="0" fontId="22" fillId="0" borderId="0" xfId="0" applyFont="1" applyAlignment="1">
      <alignment horizontal="left"/>
    </xf>
    <xf numFmtId="0" fontId="23" fillId="0" borderId="0" xfId="0" applyFont="1"/>
    <xf numFmtId="165" fontId="22" fillId="0" borderId="0" xfId="9" applyFont="1" applyBorder="1" applyAlignment="1">
      <alignment horizontal="left"/>
    </xf>
    <xf numFmtId="0" fontId="21" fillId="0" borderId="0" xfId="8" applyFont="1" applyAlignment="1">
      <alignment horizontal="left"/>
    </xf>
    <xf numFmtId="0" fontId="4" fillId="0" borderId="0" xfId="0" applyFont="1"/>
    <xf numFmtId="166" fontId="16" fillId="2" borderId="12" xfId="0" applyNumberFormat="1" applyFont="1" applyFill="1" applyBorder="1" applyAlignment="1">
      <alignment horizontal="center" vertical="center" wrapText="1"/>
    </xf>
    <xf numFmtId="0" fontId="11" fillId="0" borderId="0" xfId="3" applyAlignment="1">
      <alignment wrapText="1"/>
    </xf>
    <xf numFmtId="0" fontId="17" fillId="7" borderId="10" xfId="0" applyFont="1" applyFill="1" applyBorder="1" applyAlignment="1">
      <alignment horizontal="left" vertical="center" indent="1"/>
    </xf>
    <xf numFmtId="0" fontId="17" fillId="7" borderId="15" xfId="0" applyFont="1" applyFill="1" applyBorder="1" applyAlignment="1">
      <alignment horizontal="left" vertical="center" indent="1"/>
    </xf>
    <xf numFmtId="0" fontId="17" fillId="7" borderId="10" xfId="0" applyFont="1" applyFill="1" applyBorder="1" applyAlignment="1">
      <alignment vertical="center"/>
    </xf>
    <xf numFmtId="0" fontId="17" fillId="7" borderId="15"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4">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X36"/>
  <sheetViews>
    <sheetView showGridLines="0" tabSelected="1" showRuler="0" topLeftCell="A5" zoomScale="85" zoomScaleNormal="85" zoomScalePageLayoutView="70" workbookViewId="0">
      <selection activeCell="B23" sqref="B23"/>
    </sheetView>
  </sheetViews>
  <sheetFormatPr defaultColWidth="8.75" defaultRowHeight="30" customHeight="1" x14ac:dyDescent="0.2"/>
  <cols>
    <col min="1" max="1" width="2.75" style="10" customWidth="1"/>
    <col min="2" max="2" width="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50" ht="90" customHeight="1" x14ac:dyDescent="1.1000000000000001">
      <c r="A1" s="11"/>
      <c r="B1" s="57"/>
      <c r="C1" s="13"/>
      <c r="D1" s="14"/>
      <c r="E1" s="15"/>
      <c r="F1" s="16"/>
      <c r="H1" s="1"/>
    </row>
    <row r="2" spans="1:50" ht="30" customHeight="1" x14ac:dyDescent="0.2">
      <c r="B2" s="55"/>
      <c r="C2" s="56"/>
      <c r="D2" s="17"/>
      <c r="E2" s="18"/>
      <c r="F2" s="17"/>
    </row>
    <row r="3" spans="1:50" s="20" customFormat="1" ht="30" customHeight="1" x14ac:dyDescent="0.5">
      <c r="A3" s="10"/>
      <c r="D3" s="21"/>
      <c r="E3" s="22"/>
      <c r="J3" s="72" t="s">
        <v>0</v>
      </c>
      <c r="K3" s="73"/>
      <c r="L3" s="73"/>
      <c r="M3" s="73"/>
      <c r="N3" s="73"/>
      <c r="O3" s="73"/>
      <c r="P3" s="73"/>
      <c r="Q3" s="19"/>
      <c r="R3" s="71">
        <v>46121</v>
      </c>
      <c r="S3" s="70"/>
      <c r="T3" s="70"/>
      <c r="U3" s="70"/>
      <c r="V3" s="70"/>
      <c r="W3" s="70"/>
      <c r="X3" s="70"/>
      <c r="Y3" s="70"/>
      <c r="Z3" s="70"/>
      <c r="AA3" s="70"/>
    </row>
    <row r="4" spans="1:50" s="20" customFormat="1" ht="30" customHeight="1" x14ac:dyDescent="0.5">
      <c r="A4" s="11"/>
      <c r="B4" s="65" t="s">
        <v>31</v>
      </c>
      <c r="E4" s="23"/>
      <c r="J4" s="72" t="s">
        <v>1</v>
      </c>
      <c r="K4" s="73"/>
      <c r="L4" s="73"/>
      <c r="M4" s="73"/>
      <c r="N4" s="73"/>
      <c r="O4" s="73"/>
      <c r="P4" s="73"/>
      <c r="Q4" s="19"/>
      <c r="R4" s="69">
        <v>1</v>
      </c>
      <c r="S4" s="70"/>
      <c r="T4" s="70"/>
      <c r="U4" s="70"/>
      <c r="V4" s="70"/>
      <c r="W4" s="70"/>
      <c r="X4" s="70"/>
      <c r="Y4" s="70"/>
      <c r="Z4" s="70"/>
      <c r="AA4" s="70"/>
    </row>
    <row r="5" spans="1:50" s="20" customFormat="1" ht="15" customHeight="1" x14ac:dyDescent="0.2">
      <c r="A5" s="75"/>
      <c r="B5" s="76" t="s">
        <v>3</v>
      </c>
      <c r="C5" s="78" t="s">
        <v>4</v>
      </c>
      <c r="D5" s="67" t="s">
        <v>5</v>
      </c>
      <c r="E5" s="67" t="s">
        <v>6</v>
      </c>
      <c r="F5" s="67" t="s">
        <v>7</v>
      </c>
    </row>
    <row r="6" spans="1:50" s="20" customFormat="1" ht="15" customHeight="1" x14ac:dyDescent="0.2">
      <c r="A6" s="75"/>
      <c r="B6" s="77"/>
      <c r="C6" s="79"/>
      <c r="D6" s="68"/>
      <c r="E6" s="68"/>
      <c r="F6" s="68"/>
      <c r="H6" s="74">
        <f>H7</f>
        <v>46118</v>
      </c>
      <c r="I6" s="66"/>
      <c r="J6" s="66"/>
      <c r="K6" s="66"/>
      <c r="L6" s="66"/>
      <c r="M6" s="66"/>
      <c r="N6" s="66"/>
      <c r="O6" s="66">
        <f>O7</f>
        <v>46125</v>
      </c>
      <c r="P6" s="66"/>
      <c r="Q6" s="66"/>
      <c r="R6" s="66"/>
      <c r="S6" s="66"/>
      <c r="T6" s="66"/>
      <c r="U6" s="66"/>
      <c r="V6" s="66">
        <f>V7</f>
        <v>46132</v>
      </c>
      <c r="W6" s="66"/>
      <c r="X6" s="66"/>
      <c r="Y6" s="66"/>
      <c r="Z6" s="66"/>
      <c r="AA6" s="66"/>
      <c r="AB6" s="66"/>
      <c r="AC6" s="66">
        <f>AC7</f>
        <v>46139</v>
      </c>
      <c r="AD6" s="66"/>
      <c r="AE6" s="66"/>
      <c r="AF6" s="66"/>
      <c r="AG6" s="66"/>
      <c r="AH6" s="66"/>
      <c r="AI6" s="66"/>
      <c r="AJ6" s="66">
        <f>AJ7</f>
        <v>46146</v>
      </c>
      <c r="AK6" s="66"/>
      <c r="AL6" s="66"/>
      <c r="AM6" s="66"/>
      <c r="AN6" s="66"/>
      <c r="AO6" s="66"/>
      <c r="AP6" s="66"/>
      <c r="AQ6" s="66">
        <f>AQ7</f>
        <v>46153</v>
      </c>
      <c r="AR6" s="66"/>
      <c r="AS6" s="66"/>
      <c r="AT6" s="66"/>
      <c r="AU6" s="66"/>
      <c r="AV6" s="66"/>
      <c r="AW6" s="66"/>
    </row>
    <row r="7" spans="1:50" s="20" customFormat="1" ht="30" hidden="1" customHeight="1" thickBot="1" x14ac:dyDescent="0.2">
      <c r="A7" s="10" t="s">
        <v>8</v>
      </c>
      <c r="B7" s="29"/>
      <c r="C7" s="30"/>
      <c r="D7" s="29"/>
      <c r="E7" s="29"/>
      <c r="F7" s="29"/>
      <c r="H7" s="24">
        <f>Project_Start-WEEKDAY(Project_Start,1)+2+7*(Display_Week-1)</f>
        <v>46118</v>
      </c>
      <c r="I7" s="24">
        <f>H7+1</f>
        <v>46119</v>
      </c>
      <c r="J7" s="24">
        <f t="shared" ref="J7:AW7" si="0">I7+1</f>
        <v>46120</v>
      </c>
      <c r="K7" s="24">
        <f t="shared" si="0"/>
        <v>46121</v>
      </c>
      <c r="L7" s="24">
        <f t="shared" si="0"/>
        <v>46122</v>
      </c>
      <c r="M7" s="24">
        <f t="shared" si="0"/>
        <v>46123</v>
      </c>
      <c r="N7" s="25">
        <f t="shared" si="0"/>
        <v>46124</v>
      </c>
      <c r="O7" s="26">
        <f>N7+1</f>
        <v>46125</v>
      </c>
      <c r="P7" s="24">
        <f>O7+1</f>
        <v>46126</v>
      </c>
      <c r="Q7" s="24">
        <f t="shared" si="0"/>
        <v>46127</v>
      </c>
      <c r="R7" s="24">
        <f t="shared" si="0"/>
        <v>46128</v>
      </c>
      <c r="S7" s="24">
        <f t="shared" si="0"/>
        <v>46129</v>
      </c>
      <c r="T7" s="24">
        <f t="shared" si="0"/>
        <v>46130</v>
      </c>
      <c r="U7" s="25">
        <f t="shared" si="0"/>
        <v>46131</v>
      </c>
      <c r="V7" s="26">
        <f>U7+1</f>
        <v>46132</v>
      </c>
      <c r="W7" s="24">
        <f>V7+1</f>
        <v>46133</v>
      </c>
      <c r="X7" s="24">
        <f t="shared" si="0"/>
        <v>46134</v>
      </c>
      <c r="Y7" s="24">
        <f t="shared" si="0"/>
        <v>46135</v>
      </c>
      <c r="Z7" s="24">
        <f t="shared" si="0"/>
        <v>46136</v>
      </c>
      <c r="AA7" s="24">
        <f t="shared" si="0"/>
        <v>46137</v>
      </c>
      <c r="AB7" s="25">
        <f t="shared" si="0"/>
        <v>46138</v>
      </c>
      <c r="AC7" s="26">
        <f>AB7+1</f>
        <v>46139</v>
      </c>
      <c r="AD7" s="24">
        <f>AC7+1</f>
        <v>46140</v>
      </c>
      <c r="AE7" s="24">
        <f t="shared" si="0"/>
        <v>46141</v>
      </c>
      <c r="AF7" s="24">
        <f t="shared" si="0"/>
        <v>46142</v>
      </c>
      <c r="AG7" s="24">
        <f t="shared" si="0"/>
        <v>46143</v>
      </c>
      <c r="AH7" s="24">
        <f t="shared" si="0"/>
        <v>46144</v>
      </c>
      <c r="AI7" s="25">
        <f t="shared" si="0"/>
        <v>46145</v>
      </c>
      <c r="AJ7" s="26">
        <f>AI7+1</f>
        <v>46146</v>
      </c>
      <c r="AK7" s="24">
        <f>AJ7+1</f>
        <v>46147</v>
      </c>
      <c r="AL7" s="24">
        <f t="shared" si="0"/>
        <v>46148</v>
      </c>
      <c r="AM7" s="24">
        <f t="shared" si="0"/>
        <v>46149</v>
      </c>
      <c r="AN7" s="24">
        <f t="shared" si="0"/>
        <v>46150</v>
      </c>
      <c r="AO7" s="24">
        <f t="shared" si="0"/>
        <v>46151</v>
      </c>
      <c r="AP7" s="25">
        <f t="shared" si="0"/>
        <v>46152</v>
      </c>
      <c r="AQ7" s="26">
        <f>AP7+1</f>
        <v>46153</v>
      </c>
      <c r="AR7" s="24">
        <f>AQ7+1</f>
        <v>46154</v>
      </c>
      <c r="AS7" s="24">
        <f t="shared" si="0"/>
        <v>46155</v>
      </c>
      <c r="AT7" s="24">
        <f t="shared" si="0"/>
        <v>46156</v>
      </c>
      <c r="AU7" s="24">
        <f t="shared" si="0"/>
        <v>46157</v>
      </c>
      <c r="AV7" s="24">
        <f t="shared" si="0"/>
        <v>46158</v>
      </c>
      <c r="AW7" s="25">
        <f t="shared" si="0"/>
        <v>46159</v>
      </c>
      <c r="AX7" s="31"/>
    </row>
    <row r="8" spans="1:50" s="37" customFormat="1" ht="30" customHeight="1" thickBot="1" x14ac:dyDescent="0.25">
      <c r="A8" s="11"/>
      <c r="B8" s="32" t="s">
        <v>27</v>
      </c>
      <c r="C8" s="33"/>
      <c r="D8" s="34"/>
      <c r="E8" s="35"/>
      <c r="F8" s="36"/>
      <c r="G8" s="12"/>
      <c r="H8" s="27" t="str">
        <f t="shared" ref="H8:AW8" si="1">LEFT(TEXT(H7,"ddd"),1)</f>
        <v>M</v>
      </c>
      <c r="I8" s="28" t="str">
        <f t="shared" si="1"/>
        <v>T</v>
      </c>
      <c r="J8" s="28" t="str">
        <f t="shared" si="1"/>
        <v>W</v>
      </c>
      <c r="K8" s="28" t="str">
        <f t="shared" si="1"/>
        <v>T</v>
      </c>
      <c r="L8" s="28" t="str">
        <f t="shared" si="1"/>
        <v>F</v>
      </c>
      <c r="M8" s="28" t="str">
        <f t="shared" si="1"/>
        <v>S</v>
      </c>
      <c r="N8" s="28" t="str">
        <f t="shared" si="1"/>
        <v>S</v>
      </c>
      <c r="O8" s="28" t="str">
        <f t="shared" si="1"/>
        <v>M</v>
      </c>
      <c r="P8" s="28" t="str">
        <f t="shared" si="1"/>
        <v>T</v>
      </c>
      <c r="Q8" s="28" t="str">
        <f t="shared" si="1"/>
        <v>W</v>
      </c>
      <c r="R8" s="28" t="str">
        <f t="shared" si="1"/>
        <v>T</v>
      </c>
      <c r="S8" s="28" t="str">
        <f t="shared" si="1"/>
        <v>F</v>
      </c>
      <c r="T8" s="28" t="str">
        <f t="shared" si="1"/>
        <v>S</v>
      </c>
      <c r="U8" s="28" t="str">
        <f t="shared" si="1"/>
        <v>S</v>
      </c>
      <c r="V8" s="28" t="str">
        <f t="shared" si="1"/>
        <v>M</v>
      </c>
      <c r="W8" s="28" t="str">
        <f t="shared" si="1"/>
        <v>T</v>
      </c>
      <c r="X8" s="28" t="str">
        <f t="shared" si="1"/>
        <v>W</v>
      </c>
      <c r="Y8" s="28" t="str">
        <f t="shared" si="1"/>
        <v>T</v>
      </c>
      <c r="Z8" s="28" t="str">
        <f t="shared" si="1"/>
        <v>F</v>
      </c>
      <c r="AA8" s="28" t="str">
        <f t="shared" si="1"/>
        <v>S</v>
      </c>
      <c r="AB8" s="28" t="str">
        <f t="shared" si="1"/>
        <v>S</v>
      </c>
      <c r="AC8" s="28" t="str">
        <f t="shared" si="1"/>
        <v>M</v>
      </c>
      <c r="AD8" s="28" t="str">
        <f t="shared" si="1"/>
        <v>T</v>
      </c>
      <c r="AE8" s="28" t="str">
        <f t="shared" si="1"/>
        <v>W</v>
      </c>
      <c r="AF8" s="28" t="str">
        <f t="shared" si="1"/>
        <v>T</v>
      </c>
      <c r="AG8" s="28" t="str">
        <f t="shared" si="1"/>
        <v>F</v>
      </c>
      <c r="AH8" s="28" t="str">
        <f t="shared" si="1"/>
        <v>S</v>
      </c>
      <c r="AI8" s="28" t="str">
        <f t="shared" si="1"/>
        <v>S</v>
      </c>
      <c r="AJ8" s="28" t="str">
        <f t="shared" si="1"/>
        <v>M</v>
      </c>
      <c r="AK8" s="28" t="str">
        <f t="shared" si="1"/>
        <v>T</v>
      </c>
      <c r="AL8" s="28" t="str">
        <f t="shared" si="1"/>
        <v>W</v>
      </c>
      <c r="AM8" s="28" t="str">
        <f t="shared" si="1"/>
        <v>T</v>
      </c>
      <c r="AN8" s="28" t="str">
        <f t="shared" si="1"/>
        <v>F</v>
      </c>
      <c r="AO8" s="28" t="str">
        <f t="shared" si="1"/>
        <v>S</v>
      </c>
      <c r="AP8" s="28" t="str">
        <f t="shared" si="1"/>
        <v>S</v>
      </c>
      <c r="AQ8" s="28" t="str">
        <f t="shared" si="1"/>
        <v>M</v>
      </c>
      <c r="AR8" s="28" t="str">
        <f t="shared" si="1"/>
        <v>T</v>
      </c>
      <c r="AS8" s="28" t="str">
        <f t="shared" si="1"/>
        <v>W</v>
      </c>
      <c r="AT8" s="28" t="str">
        <f t="shared" si="1"/>
        <v>T</v>
      </c>
      <c r="AU8" s="28" t="str">
        <f t="shared" si="1"/>
        <v>F</v>
      </c>
      <c r="AV8" s="28" t="str">
        <f t="shared" si="1"/>
        <v>S</v>
      </c>
      <c r="AW8" s="28" t="str">
        <f t="shared" si="1"/>
        <v>S</v>
      </c>
    </row>
    <row r="9" spans="1:50" s="37" customFormat="1" ht="30" customHeight="1" thickBot="1" x14ac:dyDescent="0.25">
      <c r="A9" s="11"/>
      <c r="B9" s="38" t="s">
        <v>29</v>
      </c>
      <c r="C9" s="39" t="s">
        <v>22</v>
      </c>
      <c r="D9" s="40">
        <v>1</v>
      </c>
      <c r="E9" s="41">
        <v>46120</v>
      </c>
      <c r="F9" s="41">
        <f>E9+1</f>
        <v>46121</v>
      </c>
      <c r="G9" s="12"/>
      <c r="H9" s="3">
        <f t="shared" ref="H9:H21" si="2">IF(OR(ISBLANK(task_start),ISBLANK(task_end)),"",task_end-task_start+1)</f>
        <v>2</v>
      </c>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row>
    <row r="10" spans="1:50" s="37" customFormat="1" ht="30" customHeight="1" thickBot="1" x14ac:dyDescent="0.25">
      <c r="A10" s="11"/>
      <c r="B10" s="43" t="s">
        <v>23</v>
      </c>
      <c r="C10" s="39" t="s">
        <v>22</v>
      </c>
      <c r="D10" s="40">
        <v>1</v>
      </c>
      <c r="E10" s="44">
        <f>F9</f>
        <v>46121</v>
      </c>
      <c r="F10" s="44">
        <f>E10+1</f>
        <v>46122</v>
      </c>
      <c r="G10" s="12"/>
      <c r="H10" s="3">
        <f t="shared" si="2"/>
        <v>2</v>
      </c>
      <c r="I10" s="42"/>
      <c r="J10" s="42"/>
      <c r="K10" s="42"/>
      <c r="L10" s="42"/>
      <c r="M10" s="42"/>
      <c r="N10" s="42"/>
      <c r="O10" s="42"/>
      <c r="P10" s="42"/>
      <c r="Q10" s="42"/>
      <c r="R10" s="42"/>
      <c r="S10" s="42"/>
      <c r="T10" s="42"/>
      <c r="U10" s="45"/>
      <c r="V10" s="45"/>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row>
    <row r="11" spans="1:50" s="37" customFormat="1" ht="30" customHeight="1" thickBot="1" x14ac:dyDescent="0.25">
      <c r="A11" s="10"/>
      <c r="B11" s="43" t="s">
        <v>24</v>
      </c>
      <c r="C11" s="39" t="s">
        <v>22</v>
      </c>
      <c r="D11" s="40">
        <v>1</v>
      </c>
      <c r="E11" s="44">
        <f>F10</f>
        <v>46122</v>
      </c>
      <c r="F11" s="44">
        <f>E11+1</f>
        <v>46123</v>
      </c>
      <c r="G11" s="12"/>
      <c r="H11" s="3">
        <f t="shared" si="2"/>
        <v>2</v>
      </c>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row>
    <row r="12" spans="1:50" s="37" customFormat="1" ht="30" customHeight="1" thickBot="1" x14ac:dyDescent="0.25">
      <c r="A12" s="10"/>
      <c r="B12" s="43" t="s">
        <v>25</v>
      </c>
      <c r="C12" s="39" t="s">
        <v>22</v>
      </c>
      <c r="D12" s="40">
        <v>1</v>
      </c>
      <c r="E12" s="44">
        <f>F11</f>
        <v>46123</v>
      </c>
      <c r="F12" s="44">
        <f>E12+1</f>
        <v>46124</v>
      </c>
      <c r="G12" s="12"/>
      <c r="H12" s="3">
        <f t="shared" si="2"/>
        <v>2</v>
      </c>
      <c r="I12" s="42"/>
      <c r="J12" s="42"/>
      <c r="K12" s="42"/>
      <c r="L12" s="42"/>
      <c r="M12" s="42"/>
      <c r="N12" s="42"/>
      <c r="O12" s="42"/>
      <c r="P12" s="42"/>
      <c r="Q12" s="42"/>
      <c r="R12" s="42"/>
      <c r="S12" s="42"/>
      <c r="T12" s="42"/>
      <c r="U12" s="42"/>
      <c r="V12" s="42"/>
      <c r="W12" s="42"/>
      <c r="X12" s="42"/>
      <c r="Y12" s="45"/>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row>
    <row r="13" spans="1:50" s="37" customFormat="1" ht="30" customHeight="1" thickBot="1" x14ac:dyDescent="0.25">
      <c r="A13" s="10"/>
      <c r="B13" s="43" t="s">
        <v>26</v>
      </c>
      <c r="C13" s="39" t="s">
        <v>22</v>
      </c>
      <c r="D13" s="40">
        <v>1</v>
      </c>
      <c r="E13" s="44">
        <f>E12+1</f>
        <v>46124</v>
      </c>
      <c r="F13" s="44">
        <f>E13+1</f>
        <v>46125</v>
      </c>
      <c r="G13" s="12"/>
      <c r="H13" s="3">
        <f t="shared" si="2"/>
        <v>2</v>
      </c>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row>
    <row r="14" spans="1:50" s="37" customFormat="1" ht="30" customHeight="1" thickBot="1" x14ac:dyDescent="0.25">
      <c r="A14" s="11"/>
      <c r="B14" s="46" t="s">
        <v>28</v>
      </c>
      <c r="C14" s="47"/>
      <c r="D14" s="48"/>
      <c r="E14" s="49"/>
      <c r="F14" s="50"/>
      <c r="G14" s="12"/>
      <c r="H14" s="3" t="str">
        <f t="shared" si="2"/>
        <v/>
      </c>
    </row>
    <row r="15" spans="1:50" s="37" customFormat="1" ht="30" customHeight="1" thickBot="1" x14ac:dyDescent="0.25">
      <c r="A15" s="11"/>
      <c r="B15" s="51" t="s">
        <v>30</v>
      </c>
      <c r="C15" s="52" t="s">
        <v>22</v>
      </c>
      <c r="D15" s="53">
        <v>1</v>
      </c>
      <c r="E15" s="54">
        <v>46148</v>
      </c>
      <c r="F15" s="54">
        <f>E15</f>
        <v>46148</v>
      </c>
      <c r="G15" s="12"/>
      <c r="H15" s="3">
        <f t="shared" si="2"/>
        <v>1</v>
      </c>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row>
    <row r="16" spans="1:50" s="37" customFormat="1" ht="30" customHeight="1" thickBot="1" x14ac:dyDescent="0.25">
      <c r="A16" s="10"/>
      <c r="B16" s="51" t="s">
        <v>32</v>
      </c>
      <c r="C16" s="52" t="s">
        <v>22</v>
      </c>
      <c r="D16" s="53">
        <v>1</v>
      </c>
      <c r="E16" s="54">
        <v>46149</v>
      </c>
      <c r="F16" s="54">
        <f>E16</f>
        <v>46149</v>
      </c>
      <c r="G16" s="12"/>
      <c r="H16" s="3">
        <f t="shared" si="2"/>
        <v>1</v>
      </c>
      <c r="I16" s="42"/>
      <c r="J16" s="42"/>
      <c r="K16" s="42"/>
      <c r="L16" s="42"/>
      <c r="M16" s="42"/>
      <c r="N16" s="42"/>
      <c r="O16" s="42"/>
      <c r="P16" s="42"/>
      <c r="Q16" s="42"/>
      <c r="R16" s="42"/>
      <c r="S16" s="42"/>
      <c r="T16" s="42"/>
      <c r="U16" s="45"/>
      <c r="V16" s="45"/>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row>
    <row r="17" spans="1:49" s="37" customFormat="1" ht="30" customHeight="1" thickBot="1" x14ac:dyDescent="0.25">
      <c r="A17" s="10"/>
      <c r="B17" s="51" t="s">
        <v>33</v>
      </c>
      <c r="C17" s="52" t="s">
        <v>22</v>
      </c>
      <c r="D17" s="53">
        <v>1</v>
      </c>
      <c r="E17" s="54">
        <v>46153</v>
      </c>
      <c r="F17" s="54">
        <v>46153</v>
      </c>
      <c r="G17" s="12"/>
      <c r="H17" s="3">
        <f t="shared" si="2"/>
        <v>1</v>
      </c>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row>
    <row r="18" spans="1:49" s="37" customFormat="1" ht="30" customHeight="1" thickBot="1" x14ac:dyDescent="0.25">
      <c r="A18" s="10"/>
      <c r="B18" s="51" t="s">
        <v>34</v>
      </c>
      <c r="C18" s="52" t="s">
        <v>22</v>
      </c>
      <c r="D18" s="53">
        <v>1</v>
      </c>
      <c r="E18" s="54">
        <v>46149</v>
      </c>
      <c r="F18" s="54">
        <v>46153</v>
      </c>
      <c r="G18" s="12"/>
      <c r="H18" s="3">
        <f t="shared" si="2"/>
        <v>5</v>
      </c>
      <c r="I18" s="42"/>
      <c r="J18" s="42"/>
      <c r="K18" s="42"/>
      <c r="L18" s="42"/>
      <c r="M18" s="42"/>
      <c r="N18" s="42"/>
      <c r="O18" s="42"/>
      <c r="P18" s="42"/>
      <c r="Q18" s="42"/>
      <c r="R18" s="42"/>
      <c r="S18" s="42"/>
      <c r="T18" s="42"/>
      <c r="U18" s="42"/>
      <c r="V18" s="42"/>
      <c r="W18" s="42"/>
      <c r="X18" s="42"/>
      <c r="Y18" s="45"/>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row>
    <row r="19" spans="1:49" s="37" customFormat="1" ht="30" customHeight="1" thickBot="1" x14ac:dyDescent="0.25">
      <c r="A19" s="10"/>
      <c r="B19" s="51" t="s">
        <v>35</v>
      </c>
      <c r="C19" s="52" t="s">
        <v>22</v>
      </c>
      <c r="D19" s="53">
        <v>1</v>
      </c>
      <c r="E19" s="54">
        <v>46150</v>
      </c>
      <c r="F19" s="54">
        <v>46153</v>
      </c>
      <c r="G19" s="12"/>
      <c r="H19" s="3">
        <f t="shared" si="2"/>
        <v>4</v>
      </c>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row>
    <row r="20" spans="1:49" s="37" customFormat="1" ht="30" customHeight="1" thickBot="1" x14ac:dyDescent="0.25">
      <c r="A20" s="10"/>
      <c r="B20" s="51" t="s">
        <v>36</v>
      </c>
      <c r="C20" s="52" t="s">
        <v>22</v>
      </c>
      <c r="D20" s="53">
        <v>1</v>
      </c>
      <c r="E20" s="54">
        <v>46154</v>
      </c>
      <c r="F20" s="54">
        <v>46157</v>
      </c>
      <c r="G20" s="12"/>
      <c r="H20" s="3">
        <f t="shared" si="2"/>
        <v>4</v>
      </c>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row>
    <row r="21" spans="1:49" s="37" customFormat="1" ht="30" customHeight="1" thickBot="1" x14ac:dyDescent="0.25">
      <c r="A21" s="10"/>
      <c r="B21" s="51" t="s">
        <v>37</v>
      </c>
      <c r="C21" s="52" t="s">
        <v>22</v>
      </c>
      <c r="D21" s="53">
        <v>1</v>
      </c>
      <c r="E21" s="54">
        <v>46155</v>
      </c>
      <c r="F21" s="54">
        <v>46158</v>
      </c>
      <c r="G21" s="12"/>
      <c r="H21" s="3">
        <f t="shared" si="2"/>
        <v>4</v>
      </c>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row>
    <row r="22" spans="1:49" s="37" customFormat="1" ht="30" customHeight="1" x14ac:dyDescent="0.2">
      <c r="A22" s="10"/>
      <c r="B22" s="51" t="s">
        <v>38</v>
      </c>
      <c r="C22" s="52" t="s">
        <v>22</v>
      </c>
      <c r="D22" s="53">
        <v>1</v>
      </c>
      <c r="E22" s="54">
        <v>46156</v>
      </c>
      <c r="F22" s="54">
        <v>46157</v>
      </c>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row>
    <row r="23" spans="1:49" s="37" customFormat="1" ht="30" customHeight="1" x14ac:dyDescent="0.2">
      <c r="A23" s="10"/>
    </row>
    <row r="24" spans="1:49" s="37" customFormat="1" ht="30" customHeight="1" x14ac:dyDescent="0.2">
      <c r="A24" s="10"/>
    </row>
    <row r="25" spans="1:49" s="37" customFormat="1" ht="30" customHeight="1" x14ac:dyDescent="0.2"/>
    <row r="26" spans="1:49" s="37" customFormat="1" ht="30" customHeight="1" x14ac:dyDescent="0.2"/>
    <row r="27" spans="1:49" s="37" customFormat="1" ht="30" customHeight="1" x14ac:dyDescent="0.2"/>
    <row r="28" spans="1:49" s="37" customFormat="1" ht="30" customHeight="1" x14ac:dyDescent="0.2"/>
    <row r="29" spans="1:49" s="37" customFormat="1" ht="30" customHeight="1" x14ac:dyDescent="0.2"/>
    <row r="30" spans="1:49" s="37" customFormat="1" ht="30" customHeight="1" x14ac:dyDescent="0.2"/>
    <row r="31" spans="1:49" s="37" customFormat="1" ht="30" customHeight="1" x14ac:dyDescent="0.2"/>
    <row r="32" spans="1:49" s="37" customFormat="1" ht="30" customHeight="1" x14ac:dyDescent="0.2"/>
    <row r="33" spans="1:5" s="37" customFormat="1" ht="30" customHeight="1" x14ac:dyDescent="0.2"/>
    <row r="34" spans="1:5" ht="30" customHeight="1" x14ac:dyDescent="0.2">
      <c r="A34"/>
      <c r="E34"/>
    </row>
    <row r="35" spans="1:5" ht="30" customHeight="1" x14ac:dyDescent="0.2">
      <c r="A35"/>
      <c r="E35"/>
    </row>
    <row r="36" spans="1:5" ht="30" customHeight="1" x14ac:dyDescent="0.2">
      <c r="A36"/>
      <c r="E36"/>
    </row>
  </sheetData>
  <mergeCells count="16">
    <mergeCell ref="A5:A6"/>
    <mergeCell ref="B5:B6"/>
    <mergeCell ref="C5:C6"/>
    <mergeCell ref="D5:D6"/>
    <mergeCell ref="E5:E6"/>
    <mergeCell ref="R3:AA3"/>
    <mergeCell ref="J3:P3"/>
    <mergeCell ref="J4:P4"/>
    <mergeCell ref="H6:N6"/>
    <mergeCell ref="O6:U6"/>
    <mergeCell ref="V6:AB6"/>
    <mergeCell ref="AC6:AI6"/>
    <mergeCell ref="AJ6:AP6"/>
    <mergeCell ref="AQ6:AW6"/>
    <mergeCell ref="F5:F6"/>
    <mergeCell ref="R4:AA4"/>
  </mergeCells>
  <conditionalFormatting sqref="D7:D2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6:AV8 M9:N9">
    <cfRule type="expression" dxfId="14" priority="69">
      <formula>AND(TODAY()&gt;=H$7, TODAY()&lt;I$7)</formula>
    </cfRule>
  </conditionalFormatting>
  <conditionalFormatting sqref="I9:L9 O9:AW9 I10:AW13">
    <cfRule type="expression" dxfId="13" priority="73">
      <formula>AND(task_start&lt;=H$7,ROUNDDOWN((task_end-task_start+1)*task_progress,0)+task_start-1&gt;=H$7)</formula>
    </cfRule>
    <cfRule type="expression" dxfId="12" priority="74" stopIfTrue="1">
      <formula>AND(task_end&gt;=H$7,task_start&lt;I$7)</formula>
    </cfRule>
  </conditionalFormatting>
  <conditionalFormatting sqref="I9:L9 O9:AW9 I10:AW20 J21:AT21 AU21:AW22 I22:AT22">
    <cfRule type="expression" dxfId="11" priority="68">
      <formula>AND(TODAY()&gt;=H$7, TODAY()&lt;I$7)</formula>
    </cfRule>
  </conditionalFormatting>
  <conditionalFormatting sqref="I15:AW19">
    <cfRule type="expression" dxfId="10" priority="79">
      <formula>AND(task_start&lt;=H$7,ROUNDDOWN((task_end-task_start+1)*task_progress,0)+task_start-1&gt;=H$7)</formula>
    </cfRule>
    <cfRule type="expression" dxfId="9" priority="80" stopIfTrue="1">
      <formula>AND(task_end&gt;=H$7,task_start&lt;I$7)</formula>
    </cfRule>
  </conditionalFormatting>
  <conditionalFormatting sqref="I20:AW20 J21:AT21 AU21:AW22 I22:AT22">
    <cfRule type="expression" dxfId="8" priority="81">
      <formula>AND(task_start&lt;=H$7,ROUNDDOWN((task_end-task_start+1)*task_progress,0)+task_start-1&gt;=H$7)</formula>
    </cfRule>
    <cfRule type="expression" dxfId="7" priority="82" stopIfTrue="1">
      <formula>AND(task_end&gt;=H$7,task_start&lt;I$7)</formula>
    </cfRule>
  </conditionalFormatting>
  <conditionalFormatting sqref="M9:N9">
    <cfRule type="expression" dxfId="6" priority="84">
      <formula>AND(task_start&lt;=M$7,ROUNDDOWN((task_end-task_start+1)*task_progress,0)+task_start-1&gt;=M$7)</formula>
    </cfRule>
    <cfRule type="expression" dxfId="5" priority="85" stopIfTrue="1">
      <formula>AND(task_end&gt;=M$7,task_start&lt;N$7)</formula>
    </cfRule>
  </conditionalFormatting>
  <conditionalFormatting sqref="AW6:AW8">
    <cfRule type="expression" dxfId="4" priority="87">
      <formula>AND(TODAY()&gt;=AW$7, TODAY()&lt;#REF!)</formula>
    </cfRule>
  </conditionalFormatting>
  <conditionalFormatting sqref="AX7">
    <cfRule type="expression" dxfId="3" priority="86">
      <formula>AND(TODAY()&gt;=AW$7, TODAY()&lt;#REF!)</formula>
    </cfRule>
  </conditionalFormatting>
  <dataValidations count="11">
    <dataValidation type="whole" operator="greaterThanOrEqual" allowBlank="1" showInputMessage="1" promptTitle="Display Week" prompt="Changing this number will scroll the Gantt Chart view." sqref="R4"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2.75" x14ac:dyDescent="0.2"/>
  <cols>
    <col min="1" max="1" width="87" style="4" customWidth="1"/>
    <col min="2" max="16384" width="9" style="1"/>
  </cols>
  <sheetData>
    <row r="1" spans="1:2" ht="46.5" customHeight="1" x14ac:dyDescent="0.2"/>
    <row r="2" spans="1:2" s="6" customFormat="1" ht="15.75" x14ac:dyDescent="0.2">
      <c r="A2" s="58" t="s">
        <v>2</v>
      </c>
      <c r="B2" s="5"/>
    </row>
    <row r="3" spans="1:2" s="8" customFormat="1" ht="27" customHeight="1" x14ac:dyDescent="0.2">
      <c r="A3" s="59"/>
      <c r="B3" s="9"/>
    </row>
    <row r="4" spans="1:2" s="7" customFormat="1" ht="31.5" x14ac:dyDescent="0.6">
      <c r="A4" s="60" t="s">
        <v>9</v>
      </c>
    </row>
    <row r="5" spans="1:2" ht="74.25" customHeight="1" x14ac:dyDescent="0.2">
      <c r="A5" s="61" t="s">
        <v>10</v>
      </c>
    </row>
    <row r="6" spans="1:2" ht="26.25" customHeight="1" x14ac:dyDescent="0.2">
      <c r="A6" s="60" t="s">
        <v>11</v>
      </c>
    </row>
    <row r="7" spans="1:2" s="4" customFormat="1" ht="205.15" customHeight="1" x14ac:dyDescent="0.2">
      <c r="A7" s="62" t="s">
        <v>12</v>
      </c>
    </row>
    <row r="8" spans="1:2" s="7" customFormat="1" ht="31.5" x14ac:dyDescent="0.6">
      <c r="A8" s="60" t="s">
        <v>13</v>
      </c>
    </row>
    <row r="9" spans="1:2" ht="57" x14ac:dyDescent="0.2">
      <c r="A9" s="61" t="s">
        <v>14</v>
      </c>
    </row>
    <row r="10" spans="1:2" s="4" customFormat="1" ht="28.15" customHeight="1" x14ac:dyDescent="0.2">
      <c r="A10" s="63" t="s">
        <v>15</v>
      </c>
    </row>
    <row r="11" spans="1:2" s="7" customFormat="1" ht="31.5" x14ac:dyDescent="0.6">
      <c r="A11" s="60" t="s">
        <v>16</v>
      </c>
    </row>
    <row r="12" spans="1:2" ht="28.5" x14ac:dyDescent="0.2">
      <c r="A12" s="61" t="s">
        <v>17</v>
      </c>
    </row>
    <row r="13" spans="1:2" s="4" customFormat="1" ht="28.15" customHeight="1" x14ac:dyDescent="0.2">
      <c r="A13" s="63" t="s">
        <v>18</v>
      </c>
    </row>
    <row r="14" spans="1:2" s="7" customFormat="1" ht="31.5" x14ac:dyDescent="0.6">
      <c r="A14" s="60" t="s">
        <v>19</v>
      </c>
    </row>
    <row r="15" spans="1:2" ht="75" customHeight="1" x14ac:dyDescent="0.2">
      <c r="A15" s="61" t="s">
        <v>20</v>
      </c>
    </row>
    <row r="16" spans="1:2" ht="71.25" x14ac:dyDescent="0.2">
      <c r="A16" s="61" t="s">
        <v>21</v>
      </c>
    </row>
    <row r="17" spans="1:1" x14ac:dyDescent="0.2">
      <c r="A17" s="64"/>
    </row>
    <row r="18" spans="1:1" x14ac:dyDescent="0.2">
      <c r="A18" s="64"/>
    </row>
    <row r="19" spans="1:1" x14ac:dyDescent="0.2">
      <c r="A19" s="64"/>
    </row>
    <row r="20" spans="1:1" x14ac:dyDescent="0.2">
      <c r="A20" s="64"/>
    </row>
    <row r="21" spans="1:1" x14ac:dyDescent="0.2">
      <c r="A21" s="64"/>
    </row>
    <row r="22" spans="1:1" x14ac:dyDescent="0.2">
      <c r="A22" s="64"/>
    </row>
    <row r="23" spans="1:1" x14ac:dyDescent="0.2">
      <c r="A23" s="64"/>
    </row>
    <row r="24" spans="1:1" x14ac:dyDescent="0.2">
      <c r="A24" s="6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http://schemas.microsoft.com/office/infopath/2007/PartnerControls"/>
    <ds:schemaRef ds:uri="http://purl.org/dc/terms/"/>
    <ds:schemaRef ds:uri="http://purl.org/dc/dcmitype/"/>
    <ds:schemaRef ds:uri="http://schemas.microsoft.com/office/2006/documentManagement/types"/>
    <ds:schemaRef ds:uri="http://schemas.microsoft.com/sharepoint/v3"/>
    <ds:schemaRef ds:uri="http://www.w3.org/XML/1998/namespace"/>
    <ds:schemaRef ds:uri="http://schemas.microsoft.com/office/2006/metadata/properties"/>
    <ds:schemaRef ds:uri="230e9df3-be65-4c73-a93b-d1236ebd677e"/>
    <ds:schemaRef ds:uri="http://schemas.openxmlformats.org/package/2006/metadata/core-properties"/>
    <ds:schemaRef ds:uri="16c05727-aa75-4e4a-9b5f-8a80a1165891"/>
    <ds:schemaRef ds:uri="71af3243-3dd4-4a8d-8c0d-dd76da1f02a5"/>
  </ds:schemaRefs>
</ds:datastoreItem>
</file>

<file path=customXml/itemProps3.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_kam E__</dc:creator>
  <cp:keywords/>
  <dc:description/>
  <cp:lastModifiedBy>محمد عبدالجليل الاحمدي</cp:lastModifiedBy>
  <cp:revision/>
  <dcterms:created xsi:type="dcterms:W3CDTF">2022-03-11T22:41:12Z</dcterms:created>
  <dcterms:modified xsi:type="dcterms:W3CDTF">2026-05-14T23:11:37Z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y fmtid="{D5CDD505-2E9C-101B-9397-08002B2CF9AE}" pid="4" name="MSIP_Label_b196578f-6ae1-40cd-93dd-1a3b7a6ede66_Enabled">
    <vt:lpwstr>true</vt:lpwstr>
  </property>
  <property fmtid="{D5CDD505-2E9C-101B-9397-08002B2CF9AE}" pid="5" name="MSIP_Label_b196578f-6ae1-40cd-93dd-1a3b7a6ede66_SetDate">
    <vt:lpwstr>2026-05-06T13:52:46Z</vt:lpwstr>
  </property>
  <property fmtid="{D5CDD505-2E9C-101B-9397-08002B2CF9AE}" pid="6" name="MSIP_Label_b196578f-6ae1-40cd-93dd-1a3b7a6ede66_Method">
    <vt:lpwstr>Standard</vt:lpwstr>
  </property>
  <property fmtid="{D5CDD505-2E9C-101B-9397-08002B2CF9AE}" pid="7" name="MSIP_Label_b196578f-6ae1-40cd-93dd-1a3b7a6ede66_Name">
    <vt:lpwstr>Public - عام</vt:lpwstr>
  </property>
  <property fmtid="{D5CDD505-2E9C-101B-9397-08002B2CF9AE}" pid="8" name="MSIP_Label_b196578f-6ae1-40cd-93dd-1a3b7a6ede66_SiteId">
    <vt:lpwstr>2c86bbfc-8d04-41ff-a83a-942f075e0f60</vt:lpwstr>
  </property>
  <property fmtid="{D5CDD505-2E9C-101B-9397-08002B2CF9AE}" pid="9" name="MSIP_Label_b196578f-6ae1-40cd-93dd-1a3b7a6ede66_ActionId">
    <vt:lpwstr>26d7aa62-820f-4279-ac24-2ea860bdc842</vt:lpwstr>
  </property>
  <property fmtid="{D5CDD505-2E9C-101B-9397-08002B2CF9AE}" pid="10" name="MSIP_Label_b196578f-6ae1-40cd-93dd-1a3b7a6ede66_ContentBits">
    <vt:lpwstr>0</vt:lpwstr>
  </property>
  <property fmtid="{D5CDD505-2E9C-101B-9397-08002B2CF9AE}" pid="11" name="MSIP_Label_b196578f-6ae1-40cd-93dd-1a3b7a6ede66_Tag">
    <vt:lpwstr>10, 3, 0, 1</vt:lpwstr>
  </property>
</Properties>
</file>